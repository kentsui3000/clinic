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員工總表" sheetId="2" state="visible" r:id="rId2"/>
    <sheet name="單價參數" sheetId="3" state="visible" r:id="rId3"/>
    <sheet name="Form回應_當班" sheetId="4" state="visible" r:id="rId4"/>
    <sheet name="Form回應_代謝" sheetId="5" state="visible" r:id="rId5"/>
    <sheet name="分紅明細" sheetId="6" state="visible" r:id="rId6"/>
    <sheet name="月度結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Microsoft JhengHei"/>
      <b val="1"/>
      <color rgb="002F5597"/>
      <sz val="18"/>
    </font>
    <font>
      <name val="Microsoft JhengHei"/>
      <i val="1"/>
      <color rgb="00666666"/>
      <sz val="10"/>
    </font>
    <font>
      <name val="Microsoft JhengHei"/>
      <b val="1"/>
      <color rgb="002F5597"/>
      <sz val="12"/>
    </font>
    <font>
      <name val="Microsoft JhengHei"/>
      <sz val="11"/>
    </font>
    <font>
      <name val="Microsoft JhengHei"/>
      <b val="1"/>
      <color rgb="00FFFFFF"/>
      <sz val="11"/>
    </font>
    <font>
      <b val="1"/>
      <color rgb="00C00000"/>
    </font>
    <font>
      <name val="Microsoft JhengHei"/>
      <b val="1"/>
      <color rgb="002F5597"/>
      <sz val="14"/>
    </font>
    <font>
      <name val="Microsoft JhengHe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系統</author>
  </authors>
  <commentList>
    <comment ref="C1" authorId="0" shapeId="0">
      <text>
        <t>在職欄填「✓」表示在職。離職時請改為空白，不要刪除整列（保留歷史分紅明細對應）。存檔後 Apps Script 會自動同步到兩張 Form 的下拉選項。</t>
      </text>
    </comment>
  </commentList>
</comments>
</file>

<file path=xl/comments/comment2.xml><?xml version="1.0" encoding="utf-8"?>
<comments xmlns="http://schemas.openxmlformats.org/spreadsheetml/2006/main">
  <authors>
    <author>系統</author>
  </authors>
  <commentList>
    <comment ref="A1" authorId="0" shapeId="0">
      <text>
        <t>此分頁由 Google Form 1（每日當班結帳）自動寫入，請勿手動編輯。上傳到 Google Sheets 後，將 Form 1 的回應目的地設為這張分頁。</t>
      </text>
    </comment>
    <comment ref="E1" authorId="0" shapeId="0">
      <text>
        <t>Google Form 寫入時用「, 」（逗號+空格）分隔複選值。Apps Script 內 split(', ') 會自動拆人。</t>
      </text>
    </comment>
  </commentList>
</comments>
</file>

<file path=xl/comments/comment3.xml><?xml version="1.0" encoding="utf-8"?>
<comments xmlns="http://schemas.openxmlformats.org/spreadsheetml/2006/main">
  <authors>
    <author>系統</author>
  </authors>
  <commentList>
    <comment ref="A1" authorId="0" shapeId="0">
      <text>
        <t>此分頁由 Google Form 2（代謝症候群活動記錄）自動寫入，請勿手動編輯。</t>
      </text>
    </comment>
  </commentList>
</comments>
</file>

<file path=xl/comments/comment4.xml><?xml version="1.0" encoding="utf-8"?>
<comments xmlns="http://schemas.openxmlformats.org/spreadsheetml/2006/main">
  <authors>
    <author>系統</author>
  </authors>
  <commentList>
    <comment ref="A1" authorId="0" shapeId="0">
      <text>
        <t>此分頁由 Apps Script 自動 append（每員工每筆獨立一列）。第 1 列為標題列，第 2 列起由腳本自動寫入；請勿手動編輯。所有月度結算 QUERY 都從這張表計算。</t>
      </text>
    </comment>
    <comment ref="G1" authorId="0" shapeId="0">
      <text>
        <t>僅「基礎分紅」會填入看診人數；其他類型留空白。</t>
      </text>
    </comment>
    <comment ref="H1" authorId="0" shapeId="0">
      <text>
        <t>僅「基礎分紅」會填入流感支數；其他類型留空白。</t>
      </text>
    </comment>
  </commentList>
</comments>
</file>

<file path=xl/comments/comment5.xml><?xml version="1.0" encoding="utf-8"?>
<comments xmlns="http://schemas.openxmlformats.org/spreadsheetml/2006/main">
  <authors>
    <author>系統</author>
  </authors>
  <commentList>
    <comment ref="H2" authorId="0" shapeId="0">
      <text>
        <t>輸入欲查詢的年月（格式：YYYY-MM）。修改後 I 欄表格會自動更新。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徐嘉賢診所員工分紅自動化系統</t>
        </is>
      </c>
    </row>
    <row r="2">
      <c r="A2" s="2" t="inlineStr">
        <is>
          <t>版本 v1.0 ／ 規格對齊日 2026-05-13</t>
        </is>
      </c>
    </row>
    <row r="4">
      <c r="A4" s="3" t="inlineStr">
        <is>
          <t>一、上傳到 Google Drive</t>
        </is>
      </c>
    </row>
    <row r="5">
      <c r="A5" s="4" t="inlineStr">
        <is>
          <t>1) 把本檔上傳至徐醫師個人 Google Drive。</t>
        </is>
      </c>
    </row>
    <row r="6">
      <c r="A6" s="4" t="inlineStr">
        <is>
          <t>2) 在 Drive 右鍵此檔 → 開啟方式 → Google 試算表。</t>
        </is>
      </c>
    </row>
    <row r="7">
      <c r="A7" s="4" t="inlineStr">
        <is>
          <t>3) 重新命名為「徐嘉賢診所分紅系統」。</t>
        </is>
      </c>
    </row>
    <row r="9">
      <c r="A9" s="3" t="inlineStr">
        <is>
          <t>二、建立兩張 Google Form</t>
        </is>
      </c>
    </row>
    <row r="10">
      <c r="A10" s="4" t="inlineStr">
        <is>
          <t>Form 1：每日當班結帳（欄位請完全依 README 規格）。</t>
        </is>
      </c>
    </row>
    <row r="11">
      <c r="A11" s="4" t="inlineStr">
        <is>
          <t>Form 2：代謝症候群活動記錄。</t>
        </is>
      </c>
    </row>
    <row r="12">
      <c r="A12" s="4" t="inlineStr">
        <is>
          <t>兩張 Form 的回應目的地皆指向此 Sheets，</t>
        </is>
      </c>
    </row>
    <row r="13">
      <c r="A13" s="4" t="inlineStr">
        <is>
          <t>Form 1 寫入「Form回應_當班」、Form 2 寫入「Form回應_代謝」。</t>
        </is>
      </c>
    </row>
    <row r="15">
      <c r="A15" s="3" t="inlineStr">
        <is>
          <t>三、安裝 Apps Script</t>
        </is>
      </c>
    </row>
    <row r="16">
      <c r="A16" s="4" t="inlineStr">
        <is>
          <t>擴充功能 → Apps Script，貼上 apps_script.gs 完整內容。</t>
        </is>
      </c>
    </row>
    <row r="17">
      <c r="A17" s="4" t="inlineStr">
        <is>
          <t>填入兩張 Form 的 ID（編輯網址 /d/ 之後那串）。</t>
        </is>
      </c>
    </row>
    <row r="18">
      <c r="A18" s="4" t="inlineStr">
        <is>
          <t>設定觸發器：syncEmployeesToForms（編輯時）、</t>
        </is>
      </c>
    </row>
    <row r="19">
      <c r="A19" s="4" t="inlineStr">
        <is>
          <t>onDailyFormSubmit（Form 1 提交時）、onMetaFormSubmit（Form 2 提交時）。</t>
        </is>
      </c>
    </row>
    <row r="20">
      <c r="A20" s="4" t="inlineStr">
        <is>
          <t>手動執行一次 syncEmployeesToForms() 完成首次同步。</t>
        </is>
      </c>
    </row>
    <row r="22">
      <c r="A22" s="3" t="inlineStr">
        <is>
          <t>四、權限設定（極重要）</t>
        </is>
      </c>
    </row>
    <row r="23">
      <c r="A23" s="4" t="inlineStr">
        <is>
          <t>整份 Sheets 嚴禁分享給任何員工。</t>
        </is>
      </c>
    </row>
    <row r="24">
      <c r="A24" s="4" t="inlineStr">
        <is>
          <t>僅徐醫師（owner）+ 主任（可選 editor）有存取權。</t>
        </is>
      </c>
    </row>
    <row r="25">
      <c r="A25" s="4" t="inlineStr">
        <is>
          <t>員工只接觸 Form 連結，不接觸 Sheets。</t>
        </is>
      </c>
    </row>
    <row r="27">
      <c r="A27" s="3" t="inlineStr">
        <is>
          <t>五、分紅規則摘要</t>
        </is>
      </c>
    </row>
    <row r="28">
      <c r="A28" s="4" t="inlineStr">
        <is>
          <t>基礎分紅 = MAX(0, 看診 - 流感 - 60) × 5 + 流感 × 5（每位當班員工平均分）。</t>
        </is>
      </c>
    </row>
    <row r="29">
      <c r="A29" s="4" t="inlineStr">
        <is>
          <t>值日生津貼 = 100 元（僅上午/下午、值日生一人）。</t>
        </is>
      </c>
    </row>
    <row r="30">
      <c r="A30" s="4" t="inlineStr">
        <is>
          <t>代謝症候群：收案 100 元/筆、追蹤 20 元/筆，給該筆執行人員。</t>
        </is>
      </c>
    </row>
    <row r="31">
      <c r="A31" s="4" t="inlineStr">
        <is>
          <t>詳見 README.md 與 apps_script.gs。</t>
        </is>
      </c>
    </row>
    <row r="33">
      <c r="A33" s="3" t="inlineStr">
        <is>
          <t>六、分頁清單</t>
        </is>
      </c>
    </row>
    <row r="34">
      <c r="A34" s="4" t="inlineStr">
        <is>
          <t>1. 員工總表（唯一手動維護處）</t>
        </is>
      </c>
    </row>
    <row r="35">
      <c r="A35" s="4" t="inlineStr">
        <is>
          <t>2. 單價參數</t>
        </is>
      </c>
    </row>
    <row r="36">
      <c r="A36" s="4" t="inlineStr">
        <is>
          <t>3. Form回應_當班（Form 1 自動寫入）</t>
        </is>
      </c>
    </row>
    <row r="37">
      <c r="A37" s="4" t="inlineStr">
        <is>
          <t>4. Form回應_代謝（Form 2 自動寫入）</t>
        </is>
      </c>
    </row>
    <row r="38">
      <c r="A38" s="4" t="inlineStr">
        <is>
          <t>5. 分紅明細（Apps Script 自動 append，月結算來源）</t>
        </is>
      </c>
    </row>
    <row r="39">
      <c r="A39" s="4" t="inlineStr">
        <is>
          <t>6. 月度結算（含 QUERY 公式，上傳 Sheets 後生效）</t>
        </is>
      </c>
    </row>
  </sheetData>
  <mergeCells count="33">
    <mergeCell ref="A30:E30"/>
    <mergeCell ref="A39:E39"/>
    <mergeCell ref="A34:E34"/>
    <mergeCell ref="A24:E24"/>
    <mergeCell ref="A15:E15"/>
    <mergeCell ref="A11:E11"/>
    <mergeCell ref="A1:E1"/>
    <mergeCell ref="A36:E36"/>
    <mergeCell ref="A6:E6"/>
    <mergeCell ref="A16:E16"/>
    <mergeCell ref="A7:E7"/>
    <mergeCell ref="A25:E25"/>
    <mergeCell ref="A37:E37"/>
    <mergeCell ref="A18:E18"/>
    <mergeCell ref="A27:E27"/>
    <mergeCell ref="A12:E12"/>
    <mergeCell ref="A2:E2"/>
    <mergeCell ref="A33:E33"/>
    <mergeCell ref="A5:E5"/>
    <mergeCell ref="A23:E23"/>
    <mergeCell ref="A22:E22"/>
    <mergeCell ref="A17:E17"/>
    <mergeCell ref="A29:E29"/>
    <mergeCell ref="A4:E4"/>
    <mergeCell ref="A35:E35"/>
    <mergeCell ref="A20:E20"/>
    <mergeCell ref="A38:E38"/>
    <mergeCell ref="A10:E10"/>
    <mergeCell ref="A28:E28"/>
    <mergeCell ref="A19:E19"/>
    <mergeCell ref="A13:E13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4" customWidth="1" min="4" max="4"/>
    <col width="14" customWidth="1" min="5" max="5"/>
    <col width="30" customWidth="1" min="6" max="6"/>
  </cols>
  <sheetData>
    <row r="1">
      <c r="A1" s="5" t="inlineStr">
        <is>
          <t>員工姓名</t>
        </is>
      </c>
      <c r="B1" s="5" t="inlineStr">
        <is>
          <t>職位</t>
        </is>
      </c>
      <c r="C1" s="5" t="inlineStr">
        <is>
          <t>在職</t>
        </is>
      </c>
      <c r="D1" s="5" t="inlineStr">
        <is>
          <t>加入日期</t>
        </is>
      </c>
      <c r="E1" s="5" t="inlineStr">
        <is>
          <t>離職日期</t>
        </is>
      </c>
      <c r="F1" s="5" t="inlineStr">
        <is>
          <t>備註</t>
        </is>
      </c>
    </row>
    <row r="2">
      <c r="A2" s="6" t="inlineStr">
        <is>
          <t>芯儀</t>
        </is>
      </c>
      <c r="B2" s="7" t="inlineStr">
        <is>
          <t>護理師</t>
        </is>
      </c>
      <c r="C2" s="7" t="inlineStr">
        <is>
          <t>✓</t>
        </is>
      </c>
      <c r="D2" s="8" t="n"/>
      <c r="E2" s="8" t="n"/>
      <c r="F2" s="6" t="n"/>
    </row>
    <row r="3">
      <c r="A3" s="6" t="inlineStr">
        <is>
          <t>郁芹</t>
        </is>
      </c>
      <c r="B3" s="7" t="inlineStr">
        <is>
          <t>護理師</t>
        </is>
      </c>
      <c r="C3" s="7" t="inlineStr">
        <is>
          <t>✓</t>
        </is>
      </c>
      <c r="D3" s="8" t="n"/>
      <c r="E3" s="8" t="n"/>
      <c r="F3" s="6" t="n"/>
    </row>
    <row r="4">
      <c r="A4" s="6" t="inlineStr">
        <is>
          <t>佩芷</t>
        </is>
      </c>
      <c r="B4" s="7" t="inlineStr">
        <is>
          <t>護理師</t>
        </is>
      </c>
      <c r="C4" s="7" t="inlineStr">
        <is>
          <t>✓</t>
        </is>
      </c>
      <c r="D4" s="8" t="n"/>
      <c r="E4" s="8" t="n"/>
      <c r="F4" s="6" t="n"/>
    </row>
    <row r="5">
      <c r="A5" s="6" t="inlineStr">
        <is>
          <t>嘉惠</t>
        </is>
      </c>
      <c r="B5" s="7" t="inlineStr">
        <is>
          <t>行政</t>
        </is>
      </c>
      <c r="C5" s="7" t="inlineStr">
        <is>
          <t>✓</t>
        </is>
      </c>
      <c r="D5" s="8" t="n"/>
      <c r="E5" s="8" t="n"/>
      <c r="F5" s="6" t="n"/>
    </row>
    <row r="6">
      <c r="A6" s="6" t="inlineStr">
        <is>
          <t>春言</t>
        </is>
      </c>
      <c r="B6" s="7" t="inlineStr">
        <is>
          <t>行政</t>
        </is>
      </c>
      <c r="C6" s="7" t="inlineStr">
        <is>
          <t>✓</t>
        </is>
      </c>
      <c r="D6" s="8" t="n"/>
      <c r="E6" s="8" t="n"/>
      <c r="F6" s="6" t="n"/>
    </row>
    <row r="8">
      <c r="A8" s="9" t="inlineStr">
        <is>
          <t>※ 維護說明</t>
        </is>
      </c>
    </row>
    <row r="9">
      <c r="A9" s="2" t="inlineStr">
        <is>
          <t>1) 新增員工：新增一列、填姓名、職位，於 C 欄填「✓」。</t>
        </is>
      </c>
    </row>
    <row r="10">
      <c r="A10" s="2" t="inlineStr">
        <is>
          <t>2) 員工離職：只把 C 欄改為空白，不要刪除整列。</t>
        </is>
      </c>
    </row>
    <row r="11">
      <c r="A11" s="2" t="inlineStr">
        <is>
          <t>3) 此分頁為唯一手動維護處，存檔後自動觸發同步。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6" customWidth="1" min="3" max="3"/>
  </cols>
  <sheetData>
    <row r="1">
      <c r="A1" s="5" t="inlineStr">
        <is>
          <t>項目</t>
        </is>
      </c>
      <c r="B1" s="5" t="inlineStr">
        <is>
          <t>數值</t>
        </is>
      </c>
      <c r="C1" s="5" t="inlineStr">
        <is>
          <t>說明</t>
        </is>
      </c>
    </row>
    <row r="2">
      <c r="A2" s="7" t="inlineStr">
        <is>
          <t>看診人數門檻</t>
        </is>
      </c>
      <c r="B2" s="7" t="n">
        <v>60</v>
      </c>
      <c r="C2" s="6" t="inlineStr">
        <is>
          <t>超過才開始算</t>
        </is>
      </c>
    </row>
    <row r="3">
      <c r="A3" s="7" t="inlineStr">
        <is>
          <t>超門檻單價</t>
        </is>
      </c>
      <c r="B3" s="7" t="n">
        <v>5</v>
      </c>
      <c r="C3" s="6" t="inlineStr">
        <is>
          <t>每人 5 元</t>
        </is>
      </c>
    </row>
    <row r="4">
      <c r="A4" s="7" t="inlineStr">
        <is>
          <t>自費流感單價</t>
        </is>
      </c>
      <c r="B4" s="7" t="n">
        <v>5</v>
      </c>
      <c r="C4" s="6" t="inlineStr">
        <is>
          <t>每支 5 元</t>
        </is>
      </c>
    </row>
    <row r="5">
      <c r="A5" s="7" t="inlineStr">
        <is>
          <t>代謝症候群-收案</t>
        </is>
      </c>
      <c r="B5" s="7" t="n">
        <v>100</v>
      </c>
      <c r="C5" s="6" t="inlineStr">
        <is>
          <t>每筆 100 元</t>
        </is>
      </c>
    </row>
    <row r="6">
      <c r="A6" s="7" t="inlineStr">
        <is>
          <t>代謝症候群-追蹤</t>
        </is>
      </c>
      <c r="B6" s="7" t="n">
        <v>20</v>
      </c>
      <c r="C6" s="6" t="inlineStr">
        <is>
          <t>每筆 20 元</t>
        </is>
      </c>
    </row>
    <row r="7">
      <c r="A7" s="7" t="inlineStr">
        <is>
          <t>值日生津貼</t>
        </is>
      </c>
      <c r="B7" s="7" t="n">
        <v>100</v>
      </c>
      <c r="C7" s="6" t="inlineStr">
        <is>
          <t>每時段 100 元</t>
        </is>
      </c>
    </row>
    <row r="8">
      <c r="A8" s="7" t="inlineStr">
        <is>
          <t>值日生人數門檻</t>
        </is>
      </c>
      <c r="B8" s="7" t="n">
        <v>0</v>
      </c>
      <c r="C8" s="6" t="inlineStr">
        <is>
          <t>（目前未使用，預留）</t>
        </is>
      </c>
    </row>
    <row r="11">
      <c r="A11" s="9" t="inlineStr">
        <is>
          <t>※ 注意</t>
        </is>
      </c>
    </row>
    <row r="12">
      <c r="A12" s="2" t="inlineStr">
        <is>
          <t>Apps Script V1 目前是 hardcode 上述數字。若未來想改成從此表讀取，需修改 apps_script.gs。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4" customWidth="1" min="4" max="4"/>
    <col width="30" customWidth="1" min="5" max="5"/>
    <col width="12" customWidth="1" min="6" max="6"/>
    <col width="12" customWidth="1" min="7" max="7"/>
    <col width="18" customWidth="1" min="8" max="8"/>
    <col width="16" customWidth="1" min="9" max="9"/>
    <col width="24" customWidth="1" min="10" max="10"/>
  </cols>
  <sheetData>
    <row r="1">
      <c r="A1" s="5" t="inlineStr">
        <is>
          <t>時間戳記</t>
        </is>
      </c>
      <c r="B1" s="5" t="inlineStr">
        <is>
          <t>日期</t>
        </is>
      </c>
      <c r="C1" s="5" t="inlineStr">
        <is>
          <t>門診時段</t>
        </is>
      </c>
      <c r="D1" s="5" t="inlineStr">
        <is>
          <t>本時段值日生</t>
        </is>
      </c>
      <c r="E1" s="5" t="inlineStr">
        <is>
          <t>本班當值人員</t>
        </is>
      </c>
      <c r="F1" s="5" t="inlineStr">
        <is>
          <t>填寫人</t>
        </is>
      </c>
      <c r="G1" s="5" t="inlineStr">
        <is>
          <t>核對人</t>
        </is>
      </c>
      <c r="H1" s="5" t="inlineStr">
        <is>
          <t>當時段有效看診人數</t>
        </is>
      </c>
      <c r="I1" s="5" t="inlineStr">
        <is>
          <t>自費流感疫苗支數</t>
        </is>
      </c>
      <c r="J1" s="5" t="inlineStr">
        <is>
          <t>備註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4" customWidth="1" min="4" max="4"/>
    <col width="14" customWidth="1" min="5" max="5"/>
    <col width="16" customWidth="1" min="6" max="6"/>
    <col width="24" customWidth="1" min="7" max="7"/>
  </cols>
  <sheetData>
    <row r="1">
      <c r="A1" s="5" t="inlineStr">
        <is>
          <t>時間戳記</t>
        </is>
      </c>
      <c r="B1" s="5" t="inlineStr">
        <is>
          <t>日期</t>
        </is>
      </c>
      <c r="C1" s="5" t="inlineStr">
        <is>
          <t>時段</t>
        </is>
      </c>
      <c r="D1" s="5" t="inlineStr">
        <is>
          <t>活動類型</t>
        </is>
      </c>
      <c r="E1" s="5" t="inlineStr">
        <is>
          <t>執行人員</t>
        </is>
      </c>
      <c r="F1" s="5" t="inlineStr">
        <is>
          <t>病歷號</t>
        </is>
      </c>
      <c r="G1" s="5" t="inlineStr">
        <is>
          <t>備註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4" customWidth="1" min="5" max="5"/>
    <col width="10" customWidth="1" min="6" max="6"/>
    <col width="12" customWidth="1" min="7" max="7"/>
    <col width="12" customWidth="1" min="8" max="8"/>
  </cols>
  <sheetData>
    <row r="1">
      <c r="A1" s="5" t="inlineStr">
        <is>
          <t>寫入時間</t>
        </is>
      </c>
      <c r="B1" s="5" t="inlineStr">
        <is>
          <t>日期</t>
        </is>
      </c>
      <c r="C1" s="5" t="inlineStr">
        <is>
          <t>時段</t>
        </is>
      </c>
      <c r="D1" s="5" t="inlineStr">
        <is>
          <t>員工</t>
        </is>
      </c>
      <c r="E1" s="5" t="inlineStr">
        <is>
          <t>分紅類型</t>
        </is>
      </c>
      <c r="F1" s="5" t="inlineStr">
        <is>
          <t>金額</t>
        </is>
      </c>
      <c r="G1" s="5" t="inlineStr">
        <is>
          <t>看診人數</t>
        </is>
      </c>
      <c r="H1" s="5" t="inlineStr">
        <is>
          <t>流感支數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0" t="inlineStr">
        <is>
          <t>區塊 1：本月各員工總分紅</t>
        </is>
      </c>
      <c r="D1" s="10" t="inlineStr">
        <is>
          <t>區塊 2：本月各員工分紅明細（含類型拆分）</t>
        </is>
      </c>
      <c r="H1" s="11" t="inlineStr">
        <is>
          <t>查詢年月</t>
        </is>
      </c>
      <c r="I1" s="10" t="inlineStr">
        <is>
          <t>區塊 3：指定月份各員工總分紅</t>
        </is>
      </c>
      <c r="L1" s="10" t="inlineStr">
        <is>
          <t>區塊 4：本月診次彙總（cross-check 帳本）</t>
        </is>
      </c>
    </row>
    <row r="2">
      <c r="A2">
        <f>QUERY('分紅明細'!B:F,"SELECT D, SUM(F) WHERE B &gt;= date '"&amp;TEXT(EOMONTH(TODAY(),-1)+1,"yyyy-MM-dd")&amp;"' AND B &lt;= date '"&amp;TEXT(EOMONTH(TODAY(),0),"yyyy-MM-dd")&amp;"' GROUP BY D ORDER BY SUM(F) DESC LABEL SUM(F) '本月總分紅'", 1)</f>
        <v/>
      </c>
      <c r="D2">
        <f>QUERY('分紅明細'!B:F,"SELECT D, E, SUM(F) WHERE B &gt;= date '"&amp;TEXT(EOMONTH(TODAY(),-1)+1,"yyyy-MM-dd")&amp;"' AND B &lt;= date '"&amp;TEXT(EOMONTH(TODAY(),0),"yyyy-MM-dd")&amp;"' GROUP BY D, E ORDER BY D, E LABEL SUM(F) '小計'", 1)</f>
        <v/>
      </c>
      <c r="H2" s="7" t="inlineStr">
        <is>
          <t>2026-04</t>
        </is>
      </c>
      <c r="I2">
        <f>QUERY('分紅明細'!B:F,"SELECT D, SUM(F) WHERE B &gt;= date '"&amp;H2&amp;"-01' AND B &lt;= date '"&amp;TEXT(EOMONTH(DATEVALUE(H2&amp;"-01"),0),"yyyy-MM-dd")&amp;"' GROUP BY D ORDER BY SUM(F) DESC LABEL SUM(F) 'TARGET月總分紅'", 1)</f>
        <v/>
      </c>
      <c r="L2">
        <f>QUERY('Form回應_當班'!A:J,"SELECT B, C, H, I WHERE B &gt;= date '"&amp;TEXT(EOMONTH(TODAY(),-1)+1,"yyyy-MM-dd")&amp;"' AND B &lt;= date '"&amp;TEXT(EOMONTH(TODAY(),0),"yyyy-MM-dd")&amp;"' ORDER BY B, C LABEL B '日期', C '時段', H '看診人數', I '流感支數'", 1)</f>
        <v/>
      </c>
    </row>
    <row r="20">
      <c r="A20" s="9" t="inlineStr">
        <is>
          <t>※ 使用說明</t>
        </is>
      </c>
    </row>
    <row r="21">
      <c r="A21" s="2" t="inlineStr">
        <is>
          <t>1) 此 .xlsx 上傳 Google Drive → 右鍵「以 Google 試算表開啟」後，所有 QUERY 公式才會運作。</t>
        </is>
      </c>
    </row>
    <row r="22">
      <c r="A22" s="2" t="inlineStr">
        <is>
          <t>2) 本機 Excel 不支援 QUERY()，請忽略 #NAME? 錯誤，以 Sheets 為準。</t>
        </is>
      </c>
    </row>
    <row r="23">
      <c r="A23" s="2" t="inlineStr">
        <is>
          <t>3) 區塊 1、2、4 自動抓「本月」，月初自動切換。</t>
        </is>
      </c>
    </row>
    <row r="24">
      <c r="A24" s="2" t="inlineStr">
        <is>
          <t>4) 區塊 3 修改 H2 年月即可查詢任意月份。</t>
        </is>
      </c>
    </row>
    <row r="25">
      <c r="A25" s="2" t="inlineStr">
        <is>
          <t>5) 員工嚴禁存取此檔案；僅 owner（徐醫師）+ 主任（editor）有權限。</t>
        </is>
      </c>
    </row>
  </sheetData>
  <mergeCells count="9">
    <mergeCell ref="A21:G21"/>
    <mergeCell ref="A22:G22"/>
    <mergeCell ref="A25:G25"/>
    <mergeCell ref="A24:G24"/>
    <mergeCell ref="A1:B1"/>
    <mergeCell ref="L1:O1"/>
    <mergeCell ref="D1:F1"/>
    <mergeCell ref="I1:J1"/>
    <mergeCell ref="A23:G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2026-05-13T04:34:59Z</dcterms:created>
  <dcterms:modified xsi:type="dcterms:W3CDTF">2026-05-13T04:34:59Z</dcterms:modified>
</cp:coreProperties>
</file>